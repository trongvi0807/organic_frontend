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1ea27c7b794a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iTietDatMua" sheetId="1" r:id="R68c706f6bafb44e2"/>
    <x:sheet xmlns:r="http://schemas.openxmlformats.org/officeDocument/2006/relationships" name="Data" sheetId="2" r:id="Rd57ff05f0d0d4d8c"/>
    <x:sheet xmlns:r="http://schemas.openxmlformats.org/officeDocument/2006/relationships" name="ThongTin" sheetId="3" r:id="R52aaf194cd0a446e"/>
    <x:sheet xmlns:r="http://schemas.openxmlformats.org/officeDocument/2006/relationships" name="HuongDan" sheetId="4" r:id="R4e4919d93a4742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#,##0"/>
    <x:numFmt numFmtId="202" formatCode="#,##0.0"/>
    <x:numFmt numFmtId="203" formatCode="#,##0.00"/>
    <x:numFmt numFmtId="204" formatCode="#,##0.000"/>
  </x:numFmts>
  <x:fonts count="5">
    <x:font>
      <x:sz val="11"/>
      <x:name val="Carlito"/>
    </x:font>
    <x:font>
      <x:sz val="11"/>
      <x:color rgb="FF26372B"/>
      <x:name val="Arial"/>
    </x:font>
    <x:font>
      <x:b/>
      <x:sz val="11"/>
      <x:color rgb="FFFFFFFF"/>
      <x:name val="Arial"/>
    </x:font>
    <x:font>
      <x:sz val="11"/>
      <x:color rgb="FF805423"/>
      <x:name val="Arial"/>
    </x:font>
    <x:font>
      <x:b/>
      <x:sz val="11"/>
      <x:color rgb="FF1B4D2E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B4D2E"/>
      </x:patternFill>
    </x:fill>
    <x:fill>
      <x:patternFill patternType="solid">
        <x:fgColor rgb="FFF2F6EE"/>
      </x:patternFill>
    </x:fill>
    <x:fill>
      <x:patternFill patternType="solid">
        <x:fgColor rgb="FFFFF2CF"/>
      </x:patternFill>
    </x:fill>
    <x:fill>
      <x:patternFill patternType="solid">
        <x:fgColor rgb="FFE5EDDE"/>
      </x:patternFill>
    </x:fill>
  </x:fills>
  <x:borders count="4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4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horizontal="right" vertical="center" wrapText="1"/>
    </x:xf>
    <x:xf numFmtId="201" fontId="1" fillId="0" borderId="0" xfId="0" applyNumberFormat="1" applyFont="1" applyFill="1" applyBorder="1" applyAlignment="1">
      <x:alignment horizontal="right" vertical="center" wrapText="1"/>
    </x:xf>
    <x:xf numFmtId="201" fontId="1" fillId="4" borderId="0" xfId="0" applyNumberFormat="1" applyFont="1" applyFill="1" applyBorder="1" applyAlignment="1">
      <x:alignment horizontal="right" vertical="center" wrapText="1"/>
    </x:xf>
    <x:xf numFmtId="201" fontId="3" fillId="4" borderId="0" xfId="0" applyNumberFormat="1" applyFont="1" applyFill="1" applyBorder="1" applyAlignment="1">
      <x:alignment horizontal="right" vertical="center" wrapText="1"/>
    </x:xf>
    <x:xf numFmtId="202" fontId="1" fillId="3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 wrapText="1"/>
    </x:xf>
    <x:xf numFmtId="203" fontId="1" fillId="3" borderId="0" xfId="0" applyNumberFormat="1" applyFont="1" applyFill="1" applyBorder="1" applyAlignment="1">
      <x:alignment vertical="center" wrapText="1"/>
    </x:xf>
    <x:xf numFmtId="204" fontId="1" fillId="0" borderId="0" xfId="0" applyNumberFormat="1" applyFont="1" applyFill="1" applyBorder="1" applyAlignment="1">
      <x:alignment vertical="center" wrapText="1"/>
    </x:xf>
    <x:xf numFmtId="204" fontId="1" fillId="3" borderId="0" xfId="0" applyNumberFormat="1" applyFont="1" applyFill="1" applyBorder="1" applyAlignment="1">
      <x:alignment vertical="center" wrapText="1"/>
    </x:xf>
    <x:xf numFmtId="202" fontId="1" fillId="3" borderId="0" xfId="0" applyNumberFormat="1" applyFont="1" applyFill="1" applyBorder="1" applyAlignment="1">
      <x:alignment horizontal="right" vertical="center" wrapText="1"/>
    </x:xf>
    <x:xf numFmtId="203" fontId="1" fillId="0" borderId="0" xfId="0" applyNumberFormat="1" applyFont="1" applyFill="1" applyBorder="1" applyAlignment="1">
      <x:alignment horizontal="right" vertical="center" wrapText="1"/>
    </x:xf>
    <x:xf numFmtId="203" fontId="1" fillId="3" borderId="0" xfId="0" applyNumberFormat="1" applyFont="1" applyFill="1" applyBorder="1" applyAlignment="1">
      <x:alignment horizontal="right" vertical="center" wrapText="1"/>
    </x:xf>
    <x:xf numFmtId="204" fontId="1" fillId="0" borderId="0" xfId="0" applyNumberFormat="1" applyFont="1" applyFill="1" applyBorder="1" applyAlignment="1">
      <x:alignment horizontal="right" vertical="center" wrapText="1"/>
    </x:xf>
    <x:xf numFmtId="204" fontId="1" fillId="3" borderId="0" xfId="0" applyNumberFormat="1" applyFont="1" applyFill="1" applyBorder="1" applyAlignment="1">
      <x:alignment horizontal="right" vertical="center" wrapText="1"/>
    </x:xf>
    <x:xf numFmtId="201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0" fontId="0" fillId="5" borderId="0" xfId="0" applyNumberFormat="1" applyFont="1" applyFill="1" applyBorder="1"/>
    <x:xf numFmtId="201" fontId="0" fillId="5" borderId="0" xfId="0" applyNumberFormat="1" applyFont="1" applyFill="1" applyBorder="1"/>
    <x:xf numFmtId="203" fontId="0" fillId="5" borderId="0" xfId="0" applyNumberFormat="1" applyFont="1" applyFill="1" applyBorder="1"/>
    <x:xf numFmtId="204" fontId="0" fillId="5" borderId="0" xfId="0" applyNumberFormat="1" applyFont="1" applyFill="1" applyBorder="1"/>
    <x:xf numFmtId="0" fontId="4" fillId="5" borderId="0" xfId="0" applyNumberFormat="1" applyFont="1" applyFill="1" applyBorder="1"/>
    <x:xf numFmtId="201" fontId="4" fillId="5" borderId="0" xfId="0" applyNumberFormat="1" applyFont="1" applyFill="1" applyBorder="1"/>
    <x:xf numFmtId="203" fontId="4" fillId="5" borderId="0" xfId="0" applyNumberFormat="1" applyFont="1" applyFill="1" applyBorder="1"/>
    <x:xf numFmtId="204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201" fontId="4" fillId="5" borderId="0" xfId="0" applyNumberFormat="1" applyFont="1" applyFill="1" applyBorder="1" applyAlignment="1">
      <x:alignment wrapText="1"/>
    </x:xf>
    <x:xf numFmtId="203" fontId="4" fillId="5" borderId="0" xfId="0" applyNumberFormat="1" applyFont="1" applyFill="1" applyBorder="1" applyAlignment="1">
      <x:alignment wrapText="1"/>
    </x:xf>
    <x:xf numFmtId="204" fontId="4" fillId="5" borderId="0" xfId="0" applyNumberFormat="1" applyFont="1" applyFill="1" applyBorder="1" applyAlignment="1">
      <x:alignment wrapText="1"/>
    </x:xf>
    <x:xf numFmtId="201" fontId="4" fillId="5" borderId="0" xfId="0" applyNumberFormat="1" applyFont="1" applyFill="1" applyBorder="1" applyAlignment="1">
      <x:alignment horizontal="right" wrapText="1"/>
    </x:xf>
    <x:xf numFmtId="203" fontId="4" fillId="5" borderId="0" xfId="0" applyNumberFormat="1" applyFont="1" applyFill="1" applyBorder="1" applyAlignment="1">
      <x:alignment horizontal="right" wrapText="1"/>
    </x:xf>
    <x:xf numFmtId="0" fontId="4" fillId="5" borderId="0" xfId="0" applyNumberFormat="1" applyFont="1" applyFill="1" applyBorder="1" applyAlignment="1">
      <x:alignment horizontal="right" wrapText="1"/>
    </x:xf>
    <x:xf numFmtId="204" fontId="4" fillId="5" borderId="0" xfId="0" applyNumberFormat="1" applyFont="1" applyFill="1" applyBorder="1" applyAlignment="1">
      <x:alignment horizontal="right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dc2b2cb3a24653" /><Relationship Type="http://schemas.openxmlformats.org/officeDocument/2006/relationships/theme" Target="/xl/theme/theme1.xml" Id="R00ecc22543a84497" /><Relationship Type="http://schemas.openxmlformats.org/officeDocument/2006/relationships/sharedStrings" Target="/xl/sharedStrings.xml" Id="R1cfd587889d84ea5" /><Relationship Type="http://schemas.openxmlformats.org/officeDocument/2006/relationships/worksheet" Target="/xl/worksheets/sheet1.xml" Id="R68c706f6bafb44e2" /><Relationship Type="http://schemas.openxmlformats.org/officeDocument/2006/relationships/worksheet" Target="/xl/worksheets/sheet2.xml" Id="Rd57ff05f0d0d4d8c" /><Relationship Type="http://schemas.openxmlformats.org/officeDocument/2006/relationships/worksheet" Target="/xl/worksheets/sheet3.xml" Id="R52aaf194cd0a446e" /><Relationship Type="http://schemas.openxmlformats.org/officeDocument/2006/relationships/worksheet" Target="/xl/worksheets/sheet4.xml" Id="R4e4919d93a47423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B4D2E"/>
  </x:sheetPr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7" hidden="0" customWidth="1"/>
    <x:col min="2" max="2" width="49" hidden="0" customWidth="1"/>
    <x:col min="3" max="3" width="17" hidden="0" customWidth="1"/>
    <x:col min="4" max="4" width="23" hidden="0" customWidth="1"/>
    <x:col min="5" max="5" width="12" hidden="0" customWidth="1"/>
    <x:col min="6" max="6" width="18" hidden="0" customWidth="1"/>
    <x:col min="7" max="7" width="22" hidden="0" customWidth="1"/>
    <x:col min="8" max="8" width="18" hidden="0" customWidth="1"/>
    <x:col min="9" max="9" width="23" hidden="0" customWidth="1"/>
    <x:col min="10" max="10" width="24" hidden="0" customWidth="1"/>
  </x:cols>
  <x:sheetData>
    <x:row r="1" ht="62" customHeight="1">
      <x:c r="A1" s="7" t="str">
        <x:v>Mã hàng</x:v>
      </x:c>
      <x:c r="B1" s="8" t="str">
        <x:v>Tên sản phẩm</x:v>
      </x:c>
      <x:c r="C1" s="8" t="str">
        <x:v>Đơn vị đóng gói</x:v>
      </x:c>
      <x:c r="D1" s="8" t="str">
        <x:v>Khối lượng / dung tích mỗi đơn vị</x:v>
      </x:c>
      <x:c r="E1" s="8" t="str">
        <x:v>Đơn vị</x:v>
      </x:c>
      <x:c r="F1" s="8" t="str">
        <x:v>Số lượng đặt</x:v>
      </x:c>
      <x:c r="G1" s="8" t="str">
        <x:v>Tổng quy đổi</x:v>
      </x:c>
      <x:c r="H1" s="8" t="str">
        <x:v>Đơn vị quy đổi</x:v>
      </x:c>
      <x:c r="I1" s="8" t="str">
        <x:v>Giá nhập / đơn vị (đ)</x:v>
      </x:c>
      <x:c r="J1" s="9" t="str">
        <x:v>Thành tiền (đ)</x:v>
      </x:c>
    </x:row>
    <x:row r="2" ht="47" customHeight="1">
      <x:c r="A2" s="10" t="str">
        <x:f>'Data'!A2</x:f>
        <x:v>SP03-01</x:v>
      </x:c>
      <x:c r="B2" s="10" t="str">
        <x:f>'Data'!B2</x:f>
        <x:v>Bí ngòi xanh hữu cơ</x:v>
      </x:c>
      <x:c r="C2" s="10" t="str">
        <x:f>'Data'!C2</x:f>
        <x:v>Gói</x:v>
      </x:c>
      <x:c r="D2" s="15" t="n">
        <x:v>300</x:v>
      </x:c>
      <x:c r="E2" s="10" t="str">
        <x:v>g</x:v>
      </x:c>
      <x:c r="F2" s="15" t="n">
        <x:f>'Data'!D2</x:f>
        <x:v>10</x:v>
      </x:c>
      <x:c r="G2" s="24" t="n">
        <x:f>D2*F2*0.001</x:f>
        <x:v>3</x:v>
      </x:c>
      <x:c r="H2" s="10" t="str">
        <x:v>kg</x:v>
      </x:c>
      <x:c r="I2" s="15" t="n">
        <x:f>'Data'!E2</x:f>
        <x:v>24000</x:v>
      </x:c>
      <x:c r="J2" s="15" t="n">
        <x:f>F2*I2</x:f>
        <x:v>240000</x:v>
      </x:c>
    </x:row>
    <x:row r="3" ht="47" customHeight="1">
      <x:c r="A3" s="3" t="str">
        <x:f>'Data'!A3</x:f>
        <x:v>SP05-01</x:v>
      </x:c>
      <x:c r="B3" s="3" t="str">
        <x:f>'Data'!B3</x:f>
        <x:v>Cải kale hữu cơ</x:v>
      </x:c>
      <x:c r="C3" s="3" t="str">
        <x:f>'Data'!C3</x:f>
        <x:v>Gói</x:v>
      </x:c>
      <x:c r="D3" s="16" t="n">
        <x:v>250</x:v>
      </x:c>
      <x:c r="E3" s="3" t="str">
        <x:v>g</x:v>
      </x:c>
      <x:c r="F3" s="16" t="n">
        <x:f>'Data'!D3</x:f>
        <x:v>10</x:v>
      </x:c>
      <x:c r="G3" s="25" t="n">
        <x:f>D3*F3*0.001</x:f>
        <x:v>2.5</x:v>
      </x:c>
      <x:c r="H3" s="3" t="str">
        <x:v>kg</x:v>
      </x:c>
      <x:c r="I3" s="16" t="n">
        <x:f>'Data'!E3</x:f>
        <x:v>40000</x:v>
      </x:c>
      <x:c r="J3" s="16" t="n">
        <x:f>F3*I3</x:f>
        <x:v>400000</x:v>
      </x:c>
    </x:row>
    <x:row r="4" ht="47" customHeight="1">
      <x:c r="A4" s="10" t="str">
        <x:f>'Data'!A4</x:f>
        <x:v>SP06-01</x:v>
      </x:c>
      <x:c r="B4" s="10" t="str">
        <x:f>'Data'!B4</x:f>
        <x:v>Rau muống hữu cơ Eco Harvest</x:v>
      </x:c>
      <x:c r="C4" s="10" t="str">
        <x:f>'Data'!C4</x:f>
        <x:v>Gói</x:v>
      </x:c>
      <x:c r="D4" s="15" t="n">
        <x:v>300</x:v>
      </x:c>
      <x:c r="E4" s="10" t="str">
        <x:v>g</x:v>
      </x:c>
      <x:c r="F4" s="15" t="n">
        <x:f>'Data'!D4</x:f>
        <x:v>10</x:v>
      </x:c>
      <x:c r="G4" s="24" t="n">
        <x:f>D4*F4*0.001</x:f>
        <x:v>3</x:v>
      </x:c>
      <x:c r="H4" s="10" t="str">
        <x:v>kg</x:v>
      </x:c>
      <x:c r="I4" s="15" t="n">
        <x:f>'Data'!E4</x:f>
        <x:v>18000</x:v>
      </x:c>
      <x:c r="J4" s="15" t="n">
        <x:f>F4*I4</x:f>
        <x:v>180000</x:v>
      </x:c>
    </x:row>
    <x:row r="5" ht="47" customHeight="1">
      <x:c r="A5" s="3" t="str">
        <x:f>'Data'!A5</x:f>
        <x:v>SP07-01</x:v>
      </x:c>
      <x:c r="B5" s="3" t="str">
        <x:f>'Data'!B5</x:f>
        <x:v>Chuối Laba loại 1</x:v>
      </x:c>
      <x:c r="C5" s="3" t="str">
        <x:f>'Data'!C5</x:f>
        <x:v>Túi</x:v>
      </x:c>
      <x:c r="D5" s="16" t="n">
        <x:v>1</x:v>
      </x:c>
      <x:c r="E5" s="3" t="str">
        <x:v>kg</x:v>
      </x:c>
      <x:c r="F5" s="16" t="n">
        <x:f>'Data'!D5</x:f>
        <x:v>10</x:v>
      </x:c>
      <x:c r="G5" s="16" t="n">
        <x:f>D5*F5*1</x:f>
        <x:v>10</x:v>
      </x:c>
      <x:c r="H5" s="3" t="str">
        <x:v>kg</x:v>
      </x:c>
      <x:c r="I5" s="16" t="n">
        <x:f>'Data'!E5</x:f>
        <x:v>28000</x:v>
      </x:c>
      <x:c r="J5" s="16" t="n">
        <x:f>F5*I5</x:f>
        <x:v>280000</x:v>
      </x:c>
    </x:row>
    <x:row r="6" ht="47" customHeight="1">
      <x:c r="A6" s="10" t="str">
        <x:f>'Data'!A6</x:f>
        <x:v>SP08-01</x:v>
      </x:c>
      <x:c r="B6" s="10" t="str">
        <x:f>'Data'!B6</x:f>
        <x:v>Bơ sáp 034</x:v>
      </x:c>
      <x:c r="C6" s="10" t="str">
        <x:f>'Data'!C6</x:f>
        <x:v>Túi</x:v>
      </x:c>
      <x:c r="D6" s="15" t="n">
        <x:v>1</x:v>
      </x:c>
      <x:c r="E6" s="10" t="str">
        <x:v>kg</x:v>
      </x:c>
      <x:c r="F6" s="15" t="n">
        <x:f>'Data'!D6</x:f>
        <x:v>6</x:v>
      </x:c>
      <x:c r="G6" s="15" t="n">
        <x:f>D6*F6*1</x:f>
        <x:v>6</x:v>
      </x:c>
      <x:c r="H6" s="10" t="str">
        <x:v>kg</x:v>
      </x:c>
      <x:c r="I6" s="15" t="n">
        <x:f>'Data'!E6</x:f>
        <x:v>60000</x:v>
      </x:c>
      <x:c r="J6" s="15" t="n">
        <x:f>F6*I6</x:f>
        <x:v>360000</x:v>
      </x:c>
    </x:row>
    <x:row r="7" ht="47" customHeight="1">
      <x:c r="A7" s="3" t="str">
        <x:f>'Data'!A7</x:f>
        <x:v>SP09-01</x:v>
      </x:c>
      <x:c r="B7" s="3" t="str">
        <x:f>'Data'!B7</x:f>
        <x:v>Dứa mật MD2</x:v>
      </x:c>
      <x:c r="C7" s="3" t="str">
        <x:f>'Data'!C7</x:f>
        <x:v>Túi</x:v>
      </x:c>
      <x:c r="D7" s="16" t="n">
        <x:v>1</x:v>
      </x:c>
      <x:c r="E7" s="3" t="str">
        <x:v>kg</x:v>
      </x:c>
      <x:c r="F7" s="16" t="n">
        <x:f>'Data'!D7</x:f>
        <x:v>6</x:v>
      </x:c>
      <x:c r="G7" s="16" t="n">
        <x:f>D7*F7*1</x:f>
        <x:v>6</x:v>
      </x:c>
      <x:c r="H7" s="3" t="str">
        <x:v>kg</x:v>
      </x:c>
      <x:c r="I7" s="16" t="n">
        <x:f>'Data'!E7</x:f>
        <x:v>40000</x:v>
      </x:c>
      <x:c r="J7" s="16" t="n">
        <x:f>F7*I7</x:f>
        <x:v>240000</x:v>
      </x:c>
    </x:row>
    <x:row r="8" ht="47" customHeight="1">
      <x:c r="A8" s="10" t="str">
        <x:f>'Data'!A8</x:f>
        <x:v>SP14-01</x:v>
      </x:c>
      <x:c r="B8" s="10" t="str">
        <x:f>'Data'!B8</x:f>
        <x:v>Đậu lăng xanh hữu cơ Markal</x:v>
      </x:c>
      <x:c r="C8" s="10" t="str">
        <x:f>'Data'!C8</x:f>
        <x:v>Gói</x:v>
      </x:c>
      <x:c r="D8" s="15" t="n">
        <x:v>500</x:v>
      </x:c>
      <x:c r="E8" s="10" t="str">
        <x:v>g</x:v>
      </x:c>
      <x:c r="F8" s="15" t="n">
        <x:f>'Data'!D8</x:f>
        <x:v>6</x:v>
      </x:c>
      <x:c r="G8" s="24" t="n">
        <x:f>D8*F8*0.001</x:f>
        <x:v>3</x:v>
      </x:c>
      <x:c r="H8" s="10" t="str">
        <x:v>kg</x:v>
      </x:c>
      <x:c r="I8" s="15" t="n">
        <x:f>'Data'!E8</x:f>
        <x:v>110000</x:v>
      </x:c>
      <x:c r="J8" s="15" t="n">
        <x:f>F8*I8</x:f>
        <x:v>660000</x:v>
      </x:c>
    </x:row>
    <x:row r="9" ht="47" customHeight="1">
      <x:c r="A9" s="3" t="str">
        <x:f>'Data'!A9</x:f>
        <x:v>SP15-01</x:v>
      </x:c>
      <x:c r="B9" s="3" t="str">
        <x:f>'Data'!B9</x:f>
        <x:v>Hạt điều rang muối hữu cơ Altavie</x:v>
      </x:c>
      <x:c r="C9" s="3" t="str">
        <x:f>'Data'!C9</x:f>
        <x:v>Gói</x:v>
      </x:c>
      <x:c r="D9" s="16" t="n">
        <x:v>140</x:v>
      </x:c>
      <x:c r="E9" s="3" t="str">
        <x:v>g</x:v>
      </x:c>
      <x:c r="F9" s="16" t="n">
        <x:f>'Data'!D9</x:f>
        <x:v>6</x:v>
      </x:c>
      <x:c r="G9" s="25" t="n">
        <x:f>D9*F9*0.001</x:f>
        <x:v>0.84</x:v>
      </x:c>
      <x:c r="H9" s="3" t="str">
        <x:v>kg</x:v>
      </x:c>
      <x:c r="I9" s="16" t="n">
        <x:f>'Data'!E9</x:f>
        <x:v>105000</x:v>
      </x:c>
      <x:c r="J9" s="16" t="n">
        <x:f>F9*I9</x:f>
        <x:v>630000</x:v>
      </x:c>
    </x:row>
    <x:row r="10" ht="47" customHeight="1">
      <x:c r="A10" s="10" t="str">
        <x:f>'Data'!A10</x:f>
        <x:v>SP16-01</x:v>
      </x:c>
      <x:c r="B10" s="10" t="str">
        <x:f>'Data'!B10</x:f>
        <x:v>Nhân hạt macca rang củi Altavie</x:v>
      </x:c>
      <x:c r="C10" s="10" t="str">
        <x:f>'Data'!C10</x:f>
        <x:v>Hũ</x:v>
      </x:c>
      <x:c r="D10" s="15" t="n">
        <x:v>250</x:v>
      </x:c>
      <x:c r="E10" s="10" t="str">
        <x:v>g</x:v>
      </x:c>
      <x:c r="F10" s="15" t="n">
        <x:f>'Data'!D10</x:f>
        <x:v>6</x:v>
      </x:c>
      <x:c r="G10" s="26" t="n">
        <x:f>D10*F10*0.001</x:f>
        <x:v>1.5</x:v>
      </x:c>
      <x:c r="H10" s="10" t="str">
        <x:v>kg</x:v>
      </x:c>
      <x:c r="I10" s="15" t="n">
        <x:f>'Data'!E10</x:f>
        <x:v>160000</x:v>
      </x:c>
      <x:c r="J10" s="15" t="n">
        <x:f>F10*I10</x:f>
        <x:v>960000</x:v>
      </x:c>
    </x:row>
    <x:row r="11" ht="47" customHeight="1">
      <x:c r="A11" s="3" t="str">
        <x:f>'Data'!A11</x:f>
        <x:v>SP22-01</x:v>
      </x:c>
      <x:c r="B11" s="3" t="str">
        <x:f>'Data'!B11</x:f>
        <x:v>Nước ép táo hữu cơ Lakewood</x:v>
      </x:c>
      <x:c r="C11" s="3" t="str">
        <x:f>'Data'!C11</x:f>
        <x:v>Chai</x:v>
      </x:c>
      <x:c r="D11" s="16" t="n">
        <x:v>946</x:v>
      </x:c>
      <x:c r="E11" s="3" t="str">
        <x:v>ml</x:v>
      </x:c>
      <x:c r="F11" s="16" t="n">
        <x:f>'Data'!D11</x:f>
        <x:v>6</x:v>
      </x:c>
      <x:c r="G11" s="27" t="n">
        <x:f>D11*F11*0.001</x:f>
        <x:v>5.676</x:v>
      </x:c>
      <x:c r="H11" s="3" t="str">
        <x:v>l</x:v>
      </x:c>
      <x:c r="I11" s="16" t="n">
        <x:f>'Data'!E11</x:f>
        <x:v>130000</x:v>
      </x:c>
      <x:c r="J11" s="16" t="n">
        <x:f>F11*I11</x:f>
        <x:v>780000</x:v>
      </x:c>
    </x:row>
    <x:row r="12" ht="47" customHeight="1">
      <x:c r="A12" s="10" t="str">
        <x:f>'Data'!A12</x:f>
        <x:v>SP23-01</x:v>
      </x:c>
      <x:c r="B12" s="10" t="str">
        <x:f>'Data'!B12</x:f>
        <x:v>Nước ép nho hữu cơ Lakewood</x:v>
      </x:c>
      <x:c r="C12" s="10" t="str">
        <x:f>'Data'!C12</x:f>
        <x:v>Chai</x:v>
      </x:c>
      <x:c r="D12" s="15" t="n">
        <x:v>946</x:v>
      </x:c>
      <x:c r="E12" s="10" t="str">
        <x:v>ml</x:v>
      </x:c>
      <x:c r="F12" s="15" t="n">
        <x:f>'Data'!D12</x:f>
        <x:v>6</x:v>
      </x:c>
      <x:c r="G12" s="28" t="n">
        <x:f>D12*F12*0.001</x:f>
        <x:v>5.676</x:v>
      </x:c>
      <x:c r="H12" s="10" t="str">
        <x:v>l</x:v>
      </x:c>
      <x:c r="I12" s="15" t="n">
        <x:f>'Data'!E12</x:f>
        <x:v>190000</x:v>
      </x:c>
      <x:c r="J12" s="15" t="n">
        <x:f>F12*I12</x:f>
        <x:v>1140000</x:v>
      </x:c>
    </x:row>
    <x:row r="13" ht="47" customHeight="1">
      <x:c r="A13" s="3" t="str">
        <x:f>'Data'!A13</x:f>
        <x:v>SP24-01</x:v>
      </x:c>
      <x:c r="B13" s="3" t="str">
        <x:f>'Data'!B13</x:f>
        <x:v>Hạt điều rang muối hữu cơ Altavie hũ</x:v>
      </x:c>
      <x:c r="C13" s="3" t="str">
        <x:f>'Data'!C13</x:f>
        <x:v>Hũ</x:v>
      </x:c>
      <x:c r="D13" s="16" t="n">
        <x:v>180</x:v>
      </x:c>
      <x:c r="E13" s="3" t="str">
        <x:v>g</x:v>
      </x:c>
      <x:c r="F13" s="16" t="n">
        <x:f>'Data'!D13</x:f>
        <x:v>6</x:v>
      </x:c>
      <x:c r="G13" s="25" t="n">
        <x:f>D13*F13*0.001</x:f>
        <x:v>1.08</x:v>
      </x:c>
      <x:c r="H13" s="3" t="str">
        <x:v>kg</x:v>
      </x:c>
      <x:c r="I13" s="16" t="n">
        <x:f>'Data'!E13</x:f>
        <x:v>140000</x:v>
      </x:c>
      <x:c r="J13" s="16" t="n">
        <x:f>F13*I13</x:f>
        <x:v>840000</x:v>
      </x:c>
    </x:row>
    <x:row r="15" ht="35" customHeight="1">
      <x:c r="A15" s="40" t="str">
        <x:v>Tổng số đơn vị đặt</x:v>
      </x:c>
      <x:c r="B15" s="40"/>
      <x:c r="C15" s="40"/>
      <x:c r="D15" s="40"/>
      <x:c r="E15" s="40"/>
      <x:c r="F15" s="41" t="n">
        <x:f>SUM(F2:F13)</x:f>
        <x:v>88</x:v>
      </x:c>
      <x:c r="G15" s="44"/>
      <x:c r="H15" s="44"/>
      <x:c r="I15" s="44" t="str">
        <x:v>TỔNG TIỀN (đ)</x:v>
      </x:c>
      <x:c r="J15" s="44" t="n">
        <x:f>SUM(J2:J13)</x:f>
        <x:v>6710000</x:v>
      </x:c>
    </x:row>
    <x:row r="16" ht="35" customHeight="1">
      <x:c r="A16" s="40" t="str">
        <x:v>Tổng khối lượng</x:v>
      </x:c>
      <x:c r="B16" s="40" t="str">
        <x:v>kg</x:v>
      </x:c>
      <x:c r="C16" s="40"/>
      <x:c r="D16" s="40"/>
      <x:c r="E16" s="40"/>
      <x:c r="F16" s="40"/>
      <x:c r="G16" s="45" t="n">
        <x:f>SUMIFS(G2:G13,H2:H13,"kg")</x:f>
        <x:v>36.92</x:v>
      </x:c>
      <x:c r="H16" s="46"/>
      <x:c r="I16" s="46"/>
      <x:c r="J16" s="46"/>
    </x:row>
    <x:row r="17" ht="35" customHeight="1">
      <x:c r="A17" s="40" t="str">
        <x:v>Tổng dung tích</x:v>
      </x:c>
      <x:c r="B17" s="40" t="str">
        <x:v>l</x:v>
      </x:c>
      <x:c r="C17" s="40"/>
      <x:c r="D17" s="40"/>
      <x:c r="E17" s="40"/>
      <x:c r="F17" s="40"/>
      <x:c r="G17" s="47" t="n">
        <x:f>SUMIFS(G2:G13,H2:H13,"l")</x:f>
        <x:v>11.352</x:v>
      </x:c>
      <x:c r="H17" s="46"/>
      <x:c r="I17" s="46"/>
      <x:c r="J17" s="4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B4D2E"/>
  </x:sheetPr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7" hidden="0" customWidth="1"/>
    <x:col min="2" max="2" width="49" hidden="0" customWidth="1"/>
    <x:col min="3" max="3" width="23" hidden="0" customWidth="1"/>
    <x:col min="4" max="4" width="20" hidden="0" customWidth="1"/>
    <x:col min="5" max="5" width="21" hidden="0" customWidth="1"/>
  </x:cols>
  <x:sheetData>
    <x:row r="1" ht="45" customHeight="1">
      <x:c r="A1" s="7" t="str">
        <x:v>Mã hàng</x:v>
      </x:c>
      <x:c r="B1" s="8" t="str">
        <x:v>Tên sản phẩm</x:v>
      </x:c>
      <x:c r="C1" s="8" t="str">
        <x:v>Quy cách đóng gói</x:v>
      </x:c>
      <x:c r="D1" s="8" t="str">
        <x:v>Số lượng đặt</x:v>
      </x:c>
      <x:c r="E1" s="9" t="str">
        <x:v>Giá nhập</x:v>
      </x:c>
    </x:row>
    <x:row r="2" ht="47" customHeight="1">
      <x:c r="A2" s="11" t="str">
        <x:v>SP03-01</x:v>
      </x:c>
      <x:c r="B2" s="11" t="str">
        <x:v>Bí ngòi xanh hữu cơ</x:v>
      </x:c>
      <x:c r="C2" s="11" t="str">
        <x:v>Gói</x:v>
      </x:c>
      <x:c r="D2" s="18" t="n">
        <x:v>10</x:v>
      </x:c>
      <x:c r="E2" s="18" t="n">
        <x:v>24000</x:v>
      </x:c>
    </x:row>
    <x:row r="3" ht="47" customHeight="1">
      <x:c r="A3" s="12" t="str">
        <x:v>SP05-01</x:v>
      </x:c>
      <x:c r="B3" s="12" t="str">
        <x:v>Cải kale hữu cơ</x:v>
      </x:c>
      <x:c r="C3" s="12" t="str">
        <x:v>Gói</x:v>
      </x:c>
      <x:c r="D3" s="18" t="n">
        <x:v>10</x:v>
      </x:c>
      <x:c r="E3" s="18" t="n">
        <x:v>40000</x:v>
      </x:c>
    </x:row>
    <x:row r="4" ht="47" customHeight="1">
      <x:c r="A4" s="11" t="str">
        <x:v>SP06-01</x:v>
      </x:c>
      <x:c r="B4" s="11" t="str">
        <x:v>Rau muống hữu cơ Eco Harvest</x:v>
      </x:c>
      <x:c r="C4" s="11" t="str">
        <x:v>Gói</x:v>
      </x:c>
      <x:c r="D4" s="18" t="n">
        <x:v>10</x:v>
      </x:c>
      <x:c r="E4" s="18" t="n">
        <x:v>18000</x:v>
      </x:c>
    </x:row>
    <x:row r="5" ht="47" customHeight="1">
      <x:c r="A5" s="12" t="str">
        <x:v>SP07-01</x:v>
      </x:c>
      <x:c r="B5" s="12" t="str">
        <x:v>Chuối Laba loại 1</x:v>
      </x:c>
      <x:c r="C5" s="12" t="str">
        <x:v>Túi</x:v>
      </x:c>
      <x:c r="D5" s="18" t="n">
        <x:v>10</x:v>
      </x:c>
      <x:c r="E5" s="18" t="n">
        <x:v>28000</x:v>
      </x:c>
    </x:row>
    <x:row r="6" ht="47" customHeight="1">
      <x:c r="A6" s="11" t="str">
        <x:v>SP08-01</x:v>
      </x:c>
      <x:c r="B6" s="11" t="str">
        <x:v>Bơ sáp 034</x:v>
      </x:c>
      <x:c r="C6" s="11" t="str">
        <x:v>Túi</x:v>
      </x:c>
      <x:c r="D6" s="18" t="n">
        <x:v>6</x:v>
      </x:c>
      <x:c r="E6" s="18" t="n">
        <x:v>60000</x:v>
      </x:c>
    </x:row>
    <x:row r="7" ht="47" customHeight="1">
      <x:c r="A7" s="12" t="str">
        <x:v>SP09-01</x:v>
      </x:c>
      <x:c r="B7" s="12" t="str">
        <x:v>Dứa mật MD2</x:v>
      </x:c>
      <x:c r="C7" s="12" t="str">
        <x:v>Túi</x:v>
      </x:c>
      <x:c r="D7" s="18" t="n">
        <x:v>6</x:v>
      </x:c>
      <x:c r="E7" s="18" t="n">
        <x:v>40000</x:v>
      </x:c>
    </x:row>
    <x:row r="8" ht="47" customHeight="1">
      <x:c r="A8" s="11" t="str">
        <x:v>SP14-01</x:v>
      </x:c>
      <x:c r="B8" s="11" t="str">
        <x:v>Đậu lăng xanh hữu cơ Markal</x:v>
      </x:c>
      <x:c r="C8" s="11" t="str">
        <x:v>Gói</x:v>
      </x:c>
      <x:c r="D8" s="18" t="n">
        <x:v>6</x:v>
      </x:c>
      <x:c r="E8" s="18" t="n">
        <x:v>110000</x:v>
      </x:c>
    </x:row>
    <x:row r="9" ht="47" customHeight="1">
      <x:c r="A9" s="12" t="str">
        <x:v>SP15-01</x:v>
      </x:c>
      <x:c r="B9" s="12" t="str">
        <x:v>Hạt điều rang muối hữu cơ Altavie</x:v>
      </x:c>
      <x:c r="C9" s="12" t="str">
        <x:v>Gói</x:v>
      </x:c>
      <x:c r="D9" s="18" t="n">
        <x:v>6</x:v>
      </x:c>
      <x:c r="E9" s="18" t="n">
        <x:v>105000</x:v>
      </x:c>
    </x:row>
    <x:row r="10" ht="47" customHeight="1">
      <x:c r="A10" s="11" t="str">
        <x:v>SP16-01</x:v>
      </x:c>
      <x:c r="B10" s="11" t="str">
        <x:v>Nhân hạt macca rang củi Altavie</x:v>
      </x:c>
      <x:c r="C10" s="11" t="str">
        <x:v>Hũ</x:v>
      </x:c>
      <x:c r="D10" s="18" t="n">
        <x:v>6</x:v>
      </x:c>
      <x:c r="E10" s="18" t="n">
        <x:v>160000</x:v>
      </x:c>
    </x:row>
    <x:row r="11" ht="47" customHeight="1">
      <x:c r="A11" s="12" t="str">
        <x:v>SP22-01</x:v>
      </x:c>
      <x:c r="B11" s="12" t="str">
        <x:v>Nước ép táo hữu cơ Lakewood</x:v>
      </x:c>
      <x:c r="C11" s="12" t="str">
        <x:v>Chai</x:v>
      </x:c>
      <x:c r="D11" s="18" t="n">
        <x:v>6</x:v>
      </x:c>
      <x:c r="E11" s="18" t="n">
        <x:v>130000</x:v>
      </x:c>
    </x:row>
    <x:row r="12" ht="47" customHeight="1">
      <x:c r="A12" s="11" t="str">
        <x:v>SP23-01</x:v>
      </x:c>
      <x:c r="B12" s="11" t="str">
        <x:v>Nước ép nho hữu cơ Lakewood</x:v>
      </x:c>
      <x:c r="C12" s="11" t="str">
        <x:v>Chai</x:v>
      </x:c>
      <x:c r="D12" s="18" t="n">
        <x:v>6</x:v>
      </x:c>
      <x:c r="E12" s="18" t="n">
        <x:v>190000</x:v>
      </x:c>
    </x:row>
    <x:row r="13" ht="47" customHeight="1">
      <x:c r="A13" s="12" t="str">
        <x:v>SP24-01</x:v>
      </x:c>
      <x:c r="B13" s="12" t="str">
        <x:v>Hạt điều rang muối hữu cơ Altavie hũ</x:v>
      </x:c>
      <x:c r="C13" s="12" t="str">
        <x:v>Hũ</x:v>
      </x:c>
      <x:c r="D13" s="18" t="n">
        <x:v>6</x:v>
      </x:c>
      <x:c r="E13" s="18" t="n">
        <x:v>140000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779663"/>
  </x:sheetPr>
  <x:sheetViews>
    <x:sheetView showGridLines="0" workbookViewId="0"/>
  </x:sheetViews>
  <x:sheetFormatPr defaultRowHeight="15"/>
  <x:cols>
    <x:col min="1" max="1" width="30" hidden="0" customWidth="1"/>
    <x:col min="2" max="2" width="76" hidden="0" customWidth="1"/>
  </x:cols>
  <x:sheetData>
    <x:row r="1" ht="45" customHeight="1">
      <x:c r="A1" s="7" t="str">
        <x:v>Thông tin</x:v>
      </x:c>
      <x:c r="B1" s="9" t="str">
        <x:v>Giá trị</x:v>
      </x:c>
    </x:row>
    <x:row r="2" ht="43" customHeight="1">
      <x:c r="A2" s="11" t="str">
        <x:v>Mã nhà cung cấp</x:v>
      </x:c>
      <x:c r="B2" s="11" t="str">
        <x:v>NCC01</x:v>
      </x:c>
    </x:row>
    <x:row r="3" ht="43" customHeight="1">
      <x:c r="A3" s="12" t="str">
        <x:v>Nhà cung cấp</x:v>
      </x:c>
      <x:c r="B3" s="12" t="str">
        <x:v>Công ty Cổ phần Vạn Sơn Thịnh Phát</x:v>
      </x:c>
    </x:row>
    <x:row r="4" ht="43" customHeight="1">
      <x:c r="A4" s="11" t="str">
        <x:v>Số mặt hàng</x:v>
      </x:c>
      <x:c r="B4" s="11" t="str">
        <x:v>12</x:v>
      </x:c>
    </x:row>
    <x:row r="5" ht="43" customHeight="1">
      <x:c r="A5" s="12" t="str">
        <x:v>Tổng số đơn vị đặt</x:v>
      </x:c>
      <x:c r="B5" s="12" t="str">
        <x:v>88</x:v>
      </x:c>
    </x:row>
    <x:row r="6" ht="43" customHeight="1">
      <x:c r="A6" s="11" t="str">
        <x:v>Giá trị đơn dự kiến</x:v>
      </x:c>
      <x:c r="B6" s="11" t="str">
        <x:v>6.710.000 đồng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A4B396"/>
  </x:sheetPr>
  <x:sheetViews>
    <x:sheetView showGridLines="0" workbookViewId="0"/>
  </x:sheetViews>
  <x:sheetFormatPr defaultRowHeight="15"/>
  <x:cols>
    <x:col min="1" max="1" width="29" hidden="0" customWidth="1"/>
    <x:col min="2" max="2" width="100" hidden="0" customWidth="1"/>
  </x:cols>
  <x:sheetData>
    <x:row r="1" ht="45" customHeight="1">
      <x:c r="A1" s="7" t="str">
        <x:v>Bước / Nội dung</x:v>
      </x:c>
      <x:c r="B1" s="9" t="str">
        <x:v>Hướng dẫn</x:v>
      </x:c>
    </x:row>
    <x:row r="2" ht="65" customHeight="1">
      <x:c r="A2" s="10" t="str">
        <x:v>1. Mở đúng chức năng</x:v>
      </x:c>
      <x:c r="B2" s="10" t="str">
        <x:v>Quản trị → Kho vận &amp; Mua hàng → Đơn mua → Lập đơn đặt mua → Nhập từ Excel.</x:v>
      </x:c>
    </x:row>
    <x:row r="3" ht="65" customHeight="1">
      <x:c r="A3" s="3" t="str">
        <x:v>2. Chọn nhà cung cấp</x:v>
      </x:c>
      <x:c r="B3" s="3" t="str">
        <x:v>Công ty Cổ phần Vạn Sơn Thịnh Phát · NCC01. Đây là lựa chọn trên màn hình; không cần điền mã ID vào Excel.</x:v>
      </x:c>
    </x:row>
    <x:row r="4" ht="65" customHeight="1">
      <x:c r="A4" s="10" t="str">
        <x:v>3. Tải tệp lên</x:v>
      </x:c>
      <x:c r="B4" s="10" t="str">
        <x:v>Xem khối lượng tại ChiTietDatMua. Bấm Chọn file Excel và chọn nguyên tệp này. Data đã điền đủ; giữ nguyên tên và thứ tự cột.</x:v>
      </x:c>
    </x:row>
    <x:row r="5" ht="65" customHeight="1">
      <x:c r="A5" s="3" t="str">
        <x:v>4. Xem trước và xác nhận</x:v>
      </x:c>
      <x:c r="B5" s="3" t="str">
        <x:v>Đối chiếu 12 dòng sản phẩm rồi bấm Tạo đơn mua chờ duyệt. Thao tác này tạo đơn mua, chưa tăng tồn kho.</x:v>
      </x:c>
    </x:row>
    <x:row r="6" ht="65" customHeight="1">
      <x:c r="A6" s="10" t="str">
        <x:v>Số lượng và giá nhập</x:v>
      </x:c>
      <x:c r="B6" s="10" t="str">
        <x:v>Đã điền sẵn để kiểm tra luồng. Khi đặt mua thực tế, cần đối chiếu số lượng và giá với báo giá nhà cung cấp. Ô màu vàng là số lượng, giá nhập.</x:v>
      </x:c>
    </x:row>
    <x:row r="7" ht="65" customHeight="1">
      <x:c r="A7" s="3" t="str">
        <x:v>Khối lượng / Dung tích</x:v>
      </x:c>
      <x:c r="B7" s="3" t="str">
        <x:v>Trang đầu ChiTietDatMua hiển thị khối lượng hoặc dung tích mỗi đơn vị hàng và tổng quy đổi thành kg/l. Trang Data dành cho nhập đơn.</x:v>
      </x:c>
    </x:row>
    <x:row r="8" ht="65" customHeight="1">
      <x:c r="A8" s="10" t="str">
        <x:v>Sau khi đơn được duyệt</x:v>
      </x:c>
      <x:c r="B8" s="10" t="str">
        <x:v>Mở đơn mua vừa tạo và tải Excel phiếu nhập từ chính đơn đó. Mẫu sẽ lấy đúng mã đơn, các mặt hàng đã đặt và số còn được nhận.</x:v>
      </x:c>
    </x:row>
    <x:row r="9" ht="65" customHeight="1">
      <x:c r="A9" s="3" t="str">
        <x:v>Ngày giao và ghi chú</x:v>
      </x:c>
      <x:c r="B9" s="3" t="str">
        <x:v>Hai ô này trên màn hình không bắt buộc. Có thể để trống khi kiểm tra tệp này. Không cần sửa Excel.</x:v>
      </x:c>
    </x:row>
    <x:row r="10" ht="65" customHeight="1">
      <x:c r="A10" s="10" t="str">
        <x:v>Nguồn tên và mã hàng</x:v>
      </x:c>
      <x:c r="B10" s="10" t="str">
        <x:v>Danh mục đang lưu tại cửa hàng, đối chiếu ngày 29-10-2026. Các mã hàng trong tệp đều đang hoạt động và liên kết với NCC01.</x:v>
      </x:c>
    </x:row>
  </x:sheetData>
  <x:pageMargins left="0.7" right="0.7" top="0.75" bottom="0.75" header="0.3" footer="0.3"/>
</x:worksheet>
</file>