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eb40057f8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TietDatMua" sheetId="1" r:id="R5cb4bbf3224f4632"/>
    <x:sheet xmlns:r="http://schemas.openxmlformats.org/officeDocument/2006/relationships" name="Data" sheetId="2" r:id="Rd23a77ac60e24154"/>
    <x:sheet xmlns:r="http://schemas.openxmlformats.org/officeDocument/2006/relationships" name="ThongTin" sheetId="3" r:id="Re45130b386474200"/>
    <x:sheet xmlns:r="http://schemas.openxmlformats.org/officeDocument/2006/relationships" name="HuongDan" sheetId="4" r:id="Rc466d32e2212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5">
    <x:font>
      <x:sz val="11"/>
      <x:name val="Carlito"/>
    </x:font>
    <x:font>
      <x:sz val="11"/>
      <x:color rgb="FF26372B"/>
      <x:name val="Arial"/>
    </x:font>
    <x:font>
      <x:b/>
      <x:sz val="11"/>
      <x:color rgb="FFFFFFFF"/>
      <x:name val="Arial"/>
    </x:font>
    <x:font>
      <x:sz val="11"/>
      <x:color rgb="FF805423"/>
      <x:name val="Arial"/>
    </x:font>
    <x:font>
      <x:b/>
      <x:sz val="11"/>
      <x:color rgb="FF1B4D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2F6EE"/>
      </x:patternFill>
    </x:fill>
    <x:fill>
      <x:patternFill patternType="solid">
        <x:fgColor rgb="FFFFF2CF"/>
      </x:patternFill>
    </x:fill>
    <x:fill>
      <x:patternFill patternType="solid">
        <x:fgColor rgb="FFE5EDDE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3" fillId="4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horizontal="right" wrapText="1"/>
    </x:xf>
    <x:xf numFmtId="0" fontId="4" fillId="5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e592cbe9d4f0c" /><Relationship Type="http://schemas.openxmlformats.org/officeDocument/2006/relationships/theme" Target="/xl/theme/theme1.xml" Id="Rcb5d582901924254" /><Relationship Type="http://schemas.openxmlformats.org/officeDocument/2006/relationships/sharedStrings" Target="/xl/sharedStrings.xml" Id="R594f8d1bc6c8499c" /><Relationship Type="http://schemas.openxmlformats.org/officeDocument/2006/relationships/worksheet" Target="/xl/worksheets/sheet1.xml" Id="R5cb4bbf3224f4632" /><Relationship Type="http://schemas.openxmlformats.org/officeDocument/2006/relationships/worksheet" Target="/xl/worksheets/sheet2.xml" Id="Rd23a77ac60e24154" /><Relationship Type="http://schemas.openxmlformats.org/officeDocument/2006/relationships/worksheet" Target="/xl/worksheets/sheet3.xml" Id="Re45130b386474200" /><Relationship Type="http://schemas.openxmlformats.org/officeDocument/2006/relationships/worksheet" Target="/xl/worksheets/sheet4.xml" Id="Rc466d32e221248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17" hidden="0" customWidth="1"/>
    <x:col min="4" max="4" width="23" hidden="0" customWidth="1"/>
    <x:col min="5" max="5" width="12" hidden="0" customWidth="1"/>
    <x:col min="6" max="6" width="18" hidden="0" customWidth="1"/>
    <x:col min="7" max="7" width="22" hidden="0" customWidth="1"/>
    <x:col min="8" max="8" width="18" hidden="0" customWidth="1"/>
    <x:col min="9" max="9" width="23" hidden="0" customWidth="1"/>
    <x:col min="10" max="10" width="24" hidden="0" customWidth="1"/>
  </x:cols>
  <x:sheetData>
    <x:row r="1" ht="62" customHeight="1">
      <x:c r="A1" s="7" t="str">
        <x:v>Mã hàng</x:v>
      </x:c>
      <x:c r="B1" s="8" t="str">
        <x:v>Tên sản phẩm</x:v>
      </x:c>
      <x:c r="C1" s="8" t="str">
        <x:v>Đơn vị đóng gói</x:v>
      </x:c>
      <x:c r="D1" s="8" t="str">
        <x:v>Khối lượng / dung tích mỗi đơn vị</x:v>
      </x:c>
      <x:c r="E1" s="8" t="str">
        <x:v>Đơn vị</x:v>
      </x:c>
      <x:c r="F1" s="8" t="str">
        <x:v>Số lượng đặt</x:v>
      </x:c>
      <x:c r="G1" s="8" t="str">
        <x:v>Tổng quy đổi</x:v>
      </x:c>
      <x:c r="H1" s="8" t="str">
        <x:v>Đơn vị quy đổi</x:v>
      </x:c>
      <x:c r="I1" s="8" t="str">
        <x:v>Giá nhập / đơn vị (đ)</x:v>
      </x:c>
      <x:c r="J1" s="9" t="str">
        <x:v>Thành tiền (đ)</x:v>
      </x:c>
    </x:row>
    <x:row r="2" ht="47" customHeight="1">
      <x:c r="A2" s="10" t="str">
        <x:f>'Data'!A2</x:f>
        <x:v>SP10-01</x:v>
      </x:c>
      <x:c r="B2" s="10" t="str">
        <x:f>'Data'!B2</x:f>
        <x:v>Gạo hữu cơ Hoa Nắng Vàng Lúa Chín</x:v>
      </x:c>
      <x:c r="C2" s="10" t="str">
        <x:f>'Data'!C2</x:f>
        <x:v>Hộp</x:v>
      </x:c>
      <x:c r="D2" s="15" t="n">
        <x:v>2</x:v>
      </x:c>
      <x:c r="E2" s="10" t="str">
        <x:v>kg</x:v>
      </x:c>
      <x:c r="F2" s="15" t="n">
        <x:f>'Data'!D2</x:f>
        <x:v>10</x:v>
      </x:c>
      <x:c r="G2" s="15" t="n">
        <x:f>D2*F2*1</x:f>
        <x:v>20</x:v>
      </x:c>
      <x:c r="H2" s="10" t="str">
        <x:v>kg</x:v>
      </x:c>
      <x:c r="I2" s="15" t="n">
        <x:f>'Data'!E2</x:f>
        <x:v>100000</x:v>
      </x:c>
      <x:c r="J2" s="15" t="n">
        <x:f>F2*I2</x:f>
        <x:v>1000000</x:v>
      </x:c>
    </x:row>
    <x:row r="3" ht="47" customHeight="1">
      <x:c r="A3" s="3" t="str">
        <x:f>'Data'!A3</x:f>
        <x:v>SP11-01</x:v>
      </x:c>
      <x:c r="B3" s="3" t="str">
        <x:f>'Data'!B3</x:f>
        <x:v>Gạo lứt tím hữu cơ Hoa Nắng</x:v>
      </x:c>
      <x:c r="C3" s="3" t="str">
        <x:f>'Data'!C3</x:f>
        <x:v>Hộp</x:v>
      </x:c>
      <x:c r="D3" s="16" t="n">
        <x:v>1</x:v>
      </x:c>
      <x:c r="E3" s="3" t="str">
        <x:v>kg</x:v>
      </x:c>
      <x:c r="F3" s="16" t="n">
        <x:f>'Data'!D3</x:f>
        <x:v>10</x:v>
      </x:c>
      <x:c r="G3" s="16" t="n">
        <x:f>D3*F3*1</x:f>
        <x:v>10</x:v>
      </x:c>
      <x:c r="H3" s="3" t="str">
        <x:v>kg</x:v>
      </x:c>
      <x:c r="I3" s="16" t="n">
        <x:f>'Data'!E3</x:f>
        <x:v>56000</x:v>
      </x:c>
      <x:c r="J3" s="16" t="n">
        <x:f>F3*I3</x:f>
        <x:v>560000</x:v>
      </x:c>
    </x:row>
    <x:row r="5" ht="35" customHeight="1">
      <x:c r="A5" s="24" t="str">
        <x:v>Tổng số đơn vị đặt</x:v>
      </x:c>
      <x:c r="B5" s="24"/>
      <x:c r="C5" s="24"/>
      <x:c r="D5" s="24"/>
      <x:c r="E5" s="24"/>
      <x:c r="F5" s="25" t="n">
        <x:f>SUM(F2:F3)</x:f>
        <x:v>20</x:v>
      </x:c>
      <x:c r="G5" s="26"/>
      <x:c r="H5" s="26"/>
      <x:c r="I5" s="26" t="str">
        <x:v>TỔNG TIỀN (đ)</x:v>
      </x:c>
      <x:c r="J5" s="26" t="n">
        <x:f>SUM(J2:J3)</x:f>
        <x:v>1560000</x:v>
      </x:c>
    </x:row>
    <x:row r="6" ht="35" customHeight="1">
      <x:c r="A6" s="24" t="str">
        <x:v>Tổng khối lượng</x:v>
      </x:c>
      <x:c r="B6" s="24" t="str">
        <x:v>kg</x:v>
      </x:c>
      <x:c r="C6" s="24"/>
      <x:c r="D6" s="24"/>
      <x:c r="E6" s="24"/>
      <x:c r="F6" s="24"/>
      <x:c r="G6" s="26" t="n">
        <x:f>SUMIFS(G2:G3,H2:H3,"kg")</x:f>
        <x:v>30</x:v>
      </x:c>
      <x:c r="H6" s="27"/>
      <x:c r="I6" s="27"/>
      <x:c r="J6" s="2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23" hidden="0" customWidth="1"/>
    <x:col min="4" max="4" width="20" hidden="0" customWidth="1"/>
    <x:col min="5" max="5" width="21" hidden="0" customWidth="1"/>
  </x:cols>
  <x:sheetData>
    <x:row r="1" ht="45" customHeight="1">
      <x:c r="A1" s="7" t="str">
        <x:v>Mã hàng</x:v>
      </x:c>
      <x:c r="B1" s="8" t="str">
        <x:v>Tên sản phẩm</x:v>
      </x:c>
      <x:c r="C1" s="8" t="str">
        <x:v>Quy cách đóng gói</x:v>
      </x:c>
      <x:c r="D1" s="8" t="str">
        <x:v>Số lượng đặt</x:v>
      </x:c>
      <x:c r="E1" s="9" t="str">
        <x:v>Giá nhập</x:v>
      </x:c>
    </x:row>
    <x:row r="2" ht="47" customHeight="1">
      <x:c r="A2" s="11" t="str">
        <x:v>SP10-01</x:v>
      </x:c>
      <x:c r="B2" s="11" t="str">
        <x:v>Gạo hữu cơ Hoa Nắng Vàng Lúa Chín</x:v>
      </x:c>
      <x:c r="C2" s="11" t="str">
        <x:v>Hộp</x:v>
      </x:c>
      <x:c r="D2" s="18" t="n">
        <x:v>10</x:v>
      </x:c>
      <x:c r="E2" s="18" t="n">
        <x:v>100000</x:v>
      </x:c>
    </x:row>
    <x:row r="3" ht="47" customHeight="1">
      <x:c r="A3" s="12" t="str">
        <x:v>SP11-01</x:v>
      </x:c>
      <x:c r="B3" s="12" t="str">
        <x:v>Gạo lứt tím hữu cơ Hoa Nắng</x:v>
      </x:c>
      <x:c r="C3" s="12" t="str">
        <x:v>Hộp</x:v>
      </x:c>
      <x:c r="D3" s="18" t="n">
        <x:v>10</x:v>
      </x:c>
      <x:c r="E3" s="18" t="n">
        <x:v>56000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79663"/>
  </x:sheetPr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</x:cols>
  <x:sheetData>
    <x:row r="1" ht="45" customHeight="1">
      <x:c r="A1" s="7" t="str">
        <x:v>Thông tin</x:v>
      </x:c>
      <x:c r="B1" s="9" t="str">
        <x:v>Giá trị</x:v>
      </x:c>
    </x:row>
    <x:row r="2" ht="43" customHeight="1">
      <x:c r="A2" s="11" t="str">
        <x:v>Mã nhà cung cấp</x:v>
      </x:c>
      <x:c r="B2" s="11" t="str">
        <x:v>NCC03</x:v>
      </x:c>
    </x:row>
    <x:row r="3" ht="43" customHeight="1">
      <x:c r="A3" s="12" t="str">
        <x:v>Nhà cung cấp</x:v>
      </x:c>
      <x:c r="B3" s="12" t="str">
        <x:v>Công ty Cổ phần Nông sản Hoa Nắng</x:v>
      </x:c>
    </x:row>
    <x:row r="4" ht="43" customHeight="1">
      <x:c r="A4" s="11" t="str">
        <x:v>Số mặt hàng</x:v>
      </x:c>
      <x:c r="B4" s="11" t="str">
        <x:v>2</x:v>
      </x:c>
    </x:row>
    <x:row r="5" ht="43" customHeight="1">
      <x:c r="A5" s="12" t="str">
        <x:v>Tổng số đơn vị đặt</x:v>
      </x:c>
      <x:c r="B5" s="12" t="str">
        <x:v>20</x:v>
      </x:c>
    </x:row>
    <x:row r="6" ht="43" customHeight="1">
      <x:c r="A6" s="11" t="str">
        <x:v>Giá trị đơn dự kiến</x:v>
      </x:c>
      <x:c r="B6" s="11" t="str">
        <x:v>1.560.000 đồng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4B396"/>
  </x:sheetPr>
  <x:sheetViews>
    <x:sheetView showGridLines="0" workbookViewId="0"/>
  </x:sheetViews>
  <x:sheetFormatPr defaultRowHeight="15"/>
  <x:cols>
    <x:col min="1" max="1" width="29" hidden="0" customWidth="1"/>
    <x:col min="2" max="2" width="100" hidden="0" customWidth="1"/>
  </x:cols>
  <x:sheetData>
    <x:row r="1" ht="45" customHeight="1">
      <x:c r="A1" s="7" t="str">
        <x:v>Bước / Nội dung</x:v>
      </x:c>
      <x:c r="B1" s="9" t="str">
        <x:v>Hướng dẫn</x:v>
      </x:c>
    </x:row>
    <x:row r="2" ht="65" customHeight="1">
      <x:c r="A2" s="10" t="str">
        <x:v>1. Mở đúng chức năng</x:v>
      </x:c>
      <x:c r="B2" s="10" t="str">
        <x:v>Quản trị → Kho vận &amp; Mua hàng → Đơn mua → Lập đơn đặt mua → Nhập từ Excel.</x:v>
      </x:c>
    </x:row>
    <x:row r="3" ht="65" customHeight="1">
      <x:c r="A3" s="3" t="str">
        <x:v>2. Chọn nhà cung cấp</x:v>
      </x:c>
      <x:c r="B3" s="3" t="str">
        <x:v>Công ty Cổ phần Nông sản Hoa Nắng · NCC03. Đây là lựa chọn trên màn hình; không cần điền mã ID vào Excel.</x:v>
      </x:c>
    </x:row>
    <x:row r="4" ht="65" customHeight="1">
      <x:c r="A4" s="10" t="str">
        <x:v>3. Tải tệp lên</x:v>
      </x:c>
      <x:c r="B4" s="10" t="str">
        <x:v>Xem khối lượng tại ChiTietDatMua. Bấm Chọn file Excel và chọn nguyên tệp này. Data đã điền đủ; giữ nguyên tên và thứ tự cột.</x:v>
      </x:c>
    </x:row>
    <x:row r="5" ht="65" customHeight="1">
      <x:c r="A5" s="3" t="str">
        <x:v>4. Xem trước và xác nhận</x:v>
      </x:c>
      <x:c r="B5" s="3" t="str">
        <x:v>Đối chiếu 2 dòng sản phẩm rồi bấm Tạo đơn mua chờ duyệt. Thao tác này tạo đơn mua, chưa tăng tồn kho.</x:v>
      </x:c>
    </x:row>
    <x:row r="6" ht="65" customHeight="1">
      <x:c r="A6" s="10" t="str">
        <x:v>Số lượng và giá nhập</x:v>
      </x:c>
      <x:c r="B6" s="10" t="str">
        <x:v>Đã điền sẵn để kiểm tra luồng. Khi đặt mua thực tế, cần đối chiếu số lượng và giá với báo giá nhà cung cấp. Ô màu vàng là số lượng, giá nhập.</x:v>
      </x:c>
    </x:row>
    <x:row r="7" ht="65" customHeight="1">
      <x:c r="A7" s="3" t="str">
        <x:v>Khối lượng / Dung tích</x:v>
      </x:c>
      <x:c r="B7" s="3" t="str">
        <x:v>Trang đầu ChiTietDatMua hiển thị khối lượng hoặc dung tích mỗi đơn vị hàng và tổng quy đổi thành kg/l. Trang Data dành cho nhập đơn.</x:v>
      </x:c>
    </x:row>
    <x:row r="8" ht="65" customHeight="1">
      <x:c r="A8" s="10" t="str">
        <x:v>Sau khi đơn được duyệt</x:v>
      </x:c>
      <x:c r="B8" s="10" t="str">
        <x:v>Mở đơn mua vừa tạo và tải Excel phiếu nhập từ chính đơn đó. Mẫu sẽ lấy đúng mã đơn, các mặt hàng đã đặt và số còn được nhận.</x:v>
      </x:c>
    </x:row>
    <x:row r="9" ht="65" customHeight="1">
      <x:c r="A9" s="3" t="str">
        <x:v>Ngày giao và ghi chú</x:v>
      </x:c>
      <x:c r="B9" s="3" t="str">
        <x:v>Hai ô này trên màn hình không bắt buộc. Có thể để trống khi kiểm tra tệp này. Không cần sửa Excel.</x:v>
      </x:c>
    </x:row>
    <x:row r="10" ht="65" customHeight="1">
      <x:c r="A10" s="10" t="str">
        <x:v>Nguồn tên và mã hàng</x:v>
      </x:c>
      <x:c r="B10" s="10" t="str">
        <x:v>Danh mục đang lưu tại cửa hàng, đối chiếu ngày 29-10-2026. Các mã hàng trong tệp đều đang hoạt động và liên kết với NCC03.</x:v>
      </x:c>
    </x:row>
  </x:sheetData>
  <x:pageMargins left="0.7" right="0.7" top="0.75" bottom="0.75" header="0.3" footer="0.3"/>
</x:worksheet>
</file>